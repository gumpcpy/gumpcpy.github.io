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mp/Desktop/"/>
    </mc:Choice>
  </mc:AlternateContent>
  <xr:revisionPtr revIDLastSave="0" documentId="13_ncr:1_{C68D405F-AA24-594B-A6D6-10F1BAF2A7BA}" xr6:coauthVersionLast="47" xr6:coauthVersionMax="47" xr10:uidLastSave="{00000000-0000-0000-0000-000000000000}"/>
  <bookViews>
    <workbookView xWindow="3300" yWindow="500" windowWidth="30640" windowHeight="19320" xr2:uid="{C7D34692-C6FF-2B48-AED4-4C58F28B4F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" l="1"/>
  <c r="F25" i="1"/>
  <c r="I24" i="1"/>
  <c r="H24" i="1"/>
  <c r="C49" i="1"/>
  <c r="G24" i="1"/>
  <c r="F24" i="1"/>
  <c r="C39" i="1"/>
  <c r="E24" i="1"/>
  <c r="D24" i="1"/>
  <c r="D25" i="1" l="1"/>
</calcChain>
</file>

<file path=xl/sharedStrings.xml><?xml version="1.0" encoding="utf-8"?>
<sst xmlns="http://schemas.openxmlformats.org/spreadsheetml/2006/main" count="60" uniqueCount="52">
  <si>
    <t>檔案io</t>
  </si>
  <si>
    <t>特效製片</t>
  </si>
  <si>
    <t>特效剪輯</t>
  </si>
  <si>
    <t>上特效編號</t>
  </si>
  <si>
    <t>特效QC組</t>
  </si>
  <si>
    <t>特效公司提交</t>
  </si>
  <si>
    <t>特效剪輯檢查基本問題</t>
  </si>
  <si>
    <t>放到時間線</t>
  </si>
  <si>
    <t>給特效總監檢查</t>
  </si>
  <si>
    <t>反饋意見紀錄</t>
  </si>
  <si>
    <t>項目特效製片對接特效公司製片</t>
  </si>
  <si>
    <t>不同版本之間比較和評價查找</t>
  </si>
  <si>
    <t>剪輯修改導致特效鏡頭重審</t>
  </si>
  <si>
    <t>特效總監遠端會議審片</t>
  </si>
  <si>
    <t>提交時間線給剪輯回插</t>
  </si>
  <si>
    <t>實時統計特效進度 難度 完成度 分發情況 特效類別</t>
  </si>
  <si>
    <t>流程化檔案io步驟透過明確的流程和方法</t>
  </si>
  <si>
    <t>根據使用到的素材挑條拷貝原始檔</t>
  </si>
  <si>
    <t>文本-時間線title互轉</t>
  </si>
  <si>
    <t>報表輸出</t>
  </si>
  <si>
    <t>工具：檢查resolution, fps, …metadata</t>
  </si>
  <si>
    <t>100個鏡頭為計算單位</t>
  </si>
  <si>
    <t>傳統做法需要的小時</t>
  </si>
  <si>
    <t>使用DC+工具需要的小時</t>
  </si>
  <si>
    <t>自動分派輸出的檔案到相對應的資料夾</t>
  </si>
  <si>
    <t>找到每個鏡頭的素材 色卡色球 參考 空鏡等素材</t>
  </si>
  <si>
    <t>製作每個鏡頭的metadata表</t>
  </si>
  <si>
    <t>建立工業標準的製作流程:放大 變速</t>
    <phoneticPr fontId="1" type="noConversion"/>
  </si>
  <si>
    <t>APP</t>
    <phoneticPr fontId="1" type="noConversion"/>
  </si>
  <si>
    <t>平均110分鐘的特效製作大片有85%的特效鏡頭</t>
  </si>
  <si>
    <t>大約有 1000 個特效鏡頭</t>
  </si>
  <si>
    <t>大約有</t>
  </si>
  <si>
    <t>S級鏡頭100個，每個鏡頭有10个版本，=1000</t>
  </si>
  <si>
    <t>A級鏡头500个，每個鏡頭有7个版本， = 3500</t>
  </si>
  <si>
    <t>B级镜头300个，每個鏡頭有5个版本， = 1500</t>
  </si>
  <si>
    <t>C级镜头100个，每個鏡頭有3个版本， = 300</t>
  </si>
  <si>
    <t>玄幻古装大片</t>
    <phoneticPr fontId="1" type="noConversion"/>
  </si>
  <si>
    <t>特效大片1000个镜头</t>
    <phoneticPr fontId="1" type="noConversion"/>
  </si>
  <si>
    <t>大約有 5000 個特效鏡頭</t>
    <phoneticPr fontId="1" type="noConversion"/>
  </si>
  <si>
    <t>S級鏡頭500個，每個鏡頭有8个版本，=4000</t>
    <phoneticPr fontId="1" type="noConversion"/>
  </si>
  <si>
    <t>C级镜头1500个，每個鏡頭有2个版本， = 3000</t>
    <phoneticPr fontId="1" type="noConversion"/>
  </si>
  <si>
    <t>平均40集每集40分钟的古装影集有85%的特效鏡頭</t>
    <phoneticPr fontId="1" type="noConversion"/>
  </si>
  <si>
    <t>A級鏡头1000个，每個鏡頭有5个版本， = 5000</t>
    <phoneticPr fontId="1" type="noConversion"/>
  </si>
  <si>
    <t>B级镜头2000个，每個鏡頭有3个版本， = 6000</t>
    <phoneticPr fontId="1" type="noConversion"/>
  </si>
  <si>
    <t>特效片</t>
    <phoneticPr fontId="1" type="noConversion"/>
  </si>
  <si>
    <t>古装玄幻剧</t>
    <phoneticPr fontId="1" type="noConversion"/>
  </si>
  <si>
    <t>管理成本平均节约</t>
    <phoneticPr fontId="1" type="noConversion"/>
  </si>
  <si>
    <t>提升效率</t>
  </si>
  <si>
    <t>档案I/O</t>
  </si>
  <si>
    <t>视效剪辑</t>
  </si>
  <si>
    <t>视效制片</t>
  </si>
  <si>
    <t>镜头QC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</si>
</sst>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color theme="1"/>
      <name val="Calibri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9" fontId="0" fillId="2" borderId="9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94598-DC17-944A-9B0E-4FC843DC09C5}">
  <dimension ref="A1:K49"/>
  <sheetViews>
    <sheetView tabSelected="1" zoomScale="110" zoomScaleNormal="110" workbookViewId="0">
      <selection activeCell="F30" sqref="F30"/>
    </sheetView>
  </sheetViews>
  <sheetFormatPr baseColWidth="10" defaultRowHeight="16" x14ac:dyDescent="0.2"/>
  <cols>
    <col min="2" max="2" width="46.1640625" bestFit="1" customWidth="1"/>
    <col min="3" max="3" width="14.33203125" customWidth="1"/>
    <col min="4" max="4" width="20.33203125" bestFit="1" customWidth="1"/>
    <col min="5" max="5" width="22.83203125" bestFit="1" customWidth="1"/>
    <col min="6" max="6" width="19.33203125" customWidth="1"/>
    <col min="7" max="7" width="16.83203125" customWidth="1"/>
    <col min="8" max="8" width="13.5" customWidth="1"/>
    <col min="9" max="9" width="22.33203125" customWidth="1"/>
    <col min="10" max="10" width="25.83203125" customWidth="1"/>
  </cols>
  <sheetData>
    <row r="1" spans="1:9" x14ac:dyDescent="0.2">
      <c r="C1" t="s">
        <v>28</v>
      </c>
      <c r="D1" t="s">
        <v>21</v>
      </c>
      <c r="F1" t="s">
        <v>37</v>
      </c>
      <c r="H1" t="s">
        <v>36</v>
      </c>
    </row>
    <row r="2" spans="1:9" x14ac:dyDescent="0.2">
      <c r="D2" t="s">
        <v>22</v>
      </c>
      <c r="E2" t="s">
        <v>23</v>
      </c>
      <c r="H2" t="s">
        <v>22</v>
      </c>
      <c r="I2" t="s">
        <v>23</v>
      </c>
    </row>
    <row r="3" spans="1:9" x14ac:dyDescent="0.2">
      <c r="A3" t="s">
        <v>2</v>
      </c>
      <c r="B3" t="s">
        <v>3</v>
      </c>
      <c r="D3">
        <v>2</v>
      </c>
      <c r="E3">
        <v>0.5</v>
      </c>
      <c r="F3">
        <v>20</v>
      </c>
      <c r="G3">
        <v>5</v>
      </c>
      <c r="H3">
        <v>100</v>
      </c>
      <c r="I3">
        <v>20</v>
      </c>
    </row>
    <row r="4" spans="1:9" x14ac:dyDescent="0.2">
      <c r="B4" t="s">
        <v>27</v>
      </c>
      <c r="D4">
        <v>0</v>
      </c>
      <c r="E4">
        <v>0</v>
      </c>
      <c r="F4">
        <v>40</v>
      </c>
      <c r="G4">
        <v>40</v>
      </c>
      <c r="H4">
        <v>100</v>
      </c>
      <c r="I4">
        <v>100</v>
      </c>
    </row>
    <row r="5" spans="1:9" x14ac:dyDescent="0.2">
      <c r="B5" t="s">
        <v>25</v>
      </c>
      <c r="D5">
        <v>4</v>
      </c>
      <c r="E5">
        <v>0.1</v>
      </c>
      <c r="F5">
        <v>40</v>
      </c>
      <c r="G5">
        <v>0.2</v>
      </c>
      <c r="H5">
        <v>100</v>
      </c>
      <c r="I5">
        <v>1</v>
      </c>
    </row>
    <row r="6" spans="1:9" x14ac:dyDescent="0.2">
      <c r="B6" t="s">
        <v>26</v>
      </c>
      <c r="D6">
        <v>4</v>
      </c>
      <c r="E6">
        <v>0.1</v>
      </c>
      <c r="F6">
        <v>40</v>
      </c>
      <c r="G6">
        <v>0.2</v>
      </c>
      <c r="H6">
        <v>100</v>
      </c>
      <c r="I6">
        <v>1</v>
      </c>
    </row>
    <row r="7" spans="1:9" x14ac:dyDescent="0.2">
      <c r="B7" t="s">
        <v>18</v>
      </c>
      <c r="D7">
        <v>1</v>
      </c>
      <c r="E7">
        <v>0.1</v>
      </c>
      <c r="F7">
        <v>2</v>
      </c>
      <c r="G7">
        <v>0.2</v>
      </c>
      <c r="H7">
        <v>2</v>
      </c>
      <c r="I7">
        <v>0.2</v>
      </c>
    </row>
    <row r="8" spans="1:9" x14ac:dyDescent="0.2">
      <c r="B8" t="s">
        <v>19</v>
      </c>
      <c r="D8">
        <v>2</v>
      </c>
      <c r="E8">
        <v>0.1</v>
      </c>
      <c r="F8">
        <v>40</v>
      </c>
      <c r="G8">
        <v>0.4</v>
      </c>
      <c r="H8">
        <v>40</v>
      </c>
      <c r="I8">
        <v>0.4</v>
      </c>
    </row>
    <row r="9" spans="1:9" x14ac:dyDescent="0.2">
      <c r="A9" t="s">
        <v>0</v>
      </c>
      <c r="B9" t="s">
        <v>16</v>
      </c>
      <c r="D9" s="1">
        <v>0</v>
      </c>
      <c r="E9">
        <v>0</v>
      </c>
      <c r="F9" s="1">
        <v>0</v>
      </c>
      <c r="G9">
        <v>0</v>
      </c>
      <c r="H9">
        <v>0</v>
      </c>
      <c r="I9">
        <v>0</v>
      </c>
    </row>
    <row r="10" spans="1:9" x14ac:dyDescent="0.2">
      <c r="B10" t="s">
        <v>17</v>
      </c>
      <c r="D10" s="1">
        <v>1</v>
      </c>
      <c r="E10">
        <v>0.03</v>
      </c>
      <c r="F10" s="1">
        <v>10</v>
      </c>
      <c r="G10" s="1">
        <v>0.1</v>
      </c>
      <c r="H10" s="1">
        <v>20</v>
      </c>
      <c r="I10" s="1">
        <v>1</v>
      </c>
    </row>
    <row r="11" spans="1:9" x14ac:dyDescent="0.2">
      <c r="B11" t="s">
        <v>24</v>
      </c>
      <c r="D11" s="1">
        <v>1</v>
      </c>
      <c r="E11">
        <v>0.03</v>
      </c>
      <c r="F11" s="1">
        <v>10</v>
      </c>
      <c r="G11" s="1">
        <v>0.1</v>
      </c>
      <c r="H11" s="1">
        <v>20</v>
      </c>
      <c r="I11" s="1">
        <v>1</v>
      </c>
    </row>
    <row r="12" spans="1:9" x14ac:dyDescent="0.2">
      <c r="A12" t="s">
        <v>1</v>
      </c>
      <c r="B12" t="s">
        <v>15</v>
      </c>
      <c r="D12">
        <v>4</v>
      </c>
      <c r="E12">
        <v>0.1</v>
      </c>
      <c r="F12" s="1">
        <v>40</v>
      </c>
      <c r="G12" s="1">
        <v>1</v>
      </c>
      <c r="H12" s="1">
        <v>40</v>
      </c>
      <c r="I12" s="1">
        <v>1</v>
      </c>
    </row>
    <row r="13" spans="1:9" x14ac:dyDescent="0.2">
      <c r="A13" t="s">
        <v>4</v>
      </c>
      <c r="B13" t="s">
        <v>5</v>
      </c>
      <c r="D13">
        <v>0</v>
      </c>
      <c r="E13">
        <v>0</v>
      </c>
      <c r="F13" s="1">
        <v>0</v>
      </c>
      <c r="G13" s="1">
        <v>0</v>
      </c>
      <c r="H13" s="1">
        <v>0</v>
      </c>
      <c r="I13" s="1">
        <v>0</v>
      </c>
    </row>
    <row r="14" spans="1:9" x14ac:dyDescent="0.2">
      <c r="B14" t="s">
        <v>6</v>
      </c>
      <c r="D14">
        <v>2</v>
      </c>
      <c r="E14">
        <v>2</v>
      </c>
      <c r="F14" s="1">
        <v>120</v>
      </c>
      <c r="G14" s="1">
        <v>120</v>
      </c>
      <c r="H14" s="1">
        <v>400</v>
      </c>
      <c r="I14" s="1">
        <v>400</v>
      </c>
    </row>
    <row r="15" spans="1:9" x14ac:dyDescent="0.2">
      <c r="B15" t="s">
        <v>20</v>
      </c>
      <c r="D15">
        <v>2</v>
      </c>
      <c r="E15">
        <v>0.1</v>
      </c>
      <c r="F15" s="1">
        <v>120</v>
      </c>
      <c r="G15" s="1">
        <v>1</v>
      </c>
      <c r="H15" s="1">
        <v>150</v>
      </c>
      <c r="I15" s="1">
        <v>1</v>
      </c>
    </row>
    <row r="16" spans="1:9" x14ac:dyDescent="0.2">
      <c r="B16" t="s">
        <v>7</v>
      </c>
      <c r="D16">
        <v>1</v>
      </c>
      <c r="E16">
        <v>0.2</v>
      </c>
      <c r="F16" s="1">
        <v>120</v>
      </c>
      <c r="G16" s="1">
        <v>24</v>
      </c>
      <c r="H16" s="1">
        <v>400</v>
      </c>
      <c r="I16" s="1">
        <v>10</v>
      </c>
    </row>
    <row r="17" spans="1:11" x14ac:dyDescent="0.2">
      <c r="B17" t="s">
        <v>8</v>
      </c>
      <c r="D17">
        <v>0</v>
      </c>
      <c r="E17">
        <v>0</v>
      </c>
      <c r="F17" s="1">
        <v>0</v>
      </c>
      <c r="G17" s="1">
        <v>0</v>
      </c>
      <c r="H17" s="1">
        <v>0</v>
      </c>
      <c r="I17" s="1">
        <v>0</v>
      </c>
    </row>
    <row r="18" spans="1:11" x14ac:dyDescent="0.2">
      <c r="B18" t="s">
        <v>13</v>
      </c>
      <c r="D18">
        <v>4</v>
      </c>
      <c r="E18">
        <v>3</v>
      </c>
      <c r="F18" s="1">
        <v>600</v>
      </c>
      <c r="G18" s="1">
        <v>540</v>
      </c>
      <c r="H18" s="1">
        <v>600</v>
      </c>
      <c r="I18" s="1">
        <v>540</v>
      </c>
    </row>
    <row r="19" spans="1:11" x14ac:dyDescent="0.2">
      <c r="B19" t="s">
        <v>9</v>
      </c>
      <c r="D19">
        <v>3</v>
      </c>
      <c r="E19">
        <v>3</v>
      </c>
      <c r="F19" s="1">
        <v>300</v>
      </c>
      <c r="G19" s="1">
        <v>300</v>
      </c>
      <c r="H19" s="1">
        <v>300</v>
      </c>
      <c r="I19" s="1">
        <v>300</v>
      </c>
    </row>
    <row r="20" spans="1:11" x14ac:dyDescent="0.2">
      <c r="B20" t="s">
        <v>11</v>
      </c>
      <c r="D20">
        <v>2</v>
      </c>
      <c r="E20">
        <v>0.1</v>
      </c>
      <c r="F20" s="1">
        <v>20</v>
      </c>
      <c r="G20" s="1">
        <v>1</v>
      </c>
      <c r="H20" s="1">
        <v>20</v>
      </c>
      <c r="I20" s="1">
        <v>1</v>
      </c>
    </row>
    <row r="21" spans="1:11" x14ac:dyDescent="0.2">
      <c r="B21" t="s">
        <v>10</v>
      </c>
      <c r="D21">
        <v>2</v>
      </c>
      <c r="E21">
        <v>0.2</v>
      </c>
      <c r="F21" s="1">
        <v>200</v>
      </c>
      <c r="G21" s="1">
        <v>20</v>
      </c>
      <c r="H21" s="1">
        <v>200</v>
      </c>
      <c r="I21" s="1">
        <v>20</v>
      </c>
    </row>
    <row r="22" spans="1:11" x14ac:dyDescent="0.2">
      <c r="B22" t="s">
        <v>12</v>
      </c>
      <c r="D22">
        <v>4</v>
      </c>
      <c r="E22">
        <v>2</v>
      </c>
      <c r="F22" s="1">
        <v>100</v>
      </c>
      <c r="G22" s="1">
        <v>50</v>
      </c>
      <c r="H22" s="1">
        <v>200</v>
      </c>
      <c r="I22" s="1">
        <v>100</v>
      </c>
    </row>
    <row r="23" spans="1:11" x14ac:dyDescent="0.2">
      <c r="B23" t="s">
        <v>14</v>
      </c>
      <c r="D23">
        <v>1</v>
      </c>
      <c r="E23">
        <v>0.1</v>
      </c>
      <c r="F23" s="1">
        <v>100</v>
      </c>
      <c r="G23" s="1">
        <v>10</v>
      </c>
      <c r="H23" s="1">
        <v>400</v>
      </c>
      <c r="I23" s="1">
        <v>10</v>
      </c>
    </row>
    <row r="24" spans="1:11" x14ac:dyDescent="0.2">
      <c r="D24">
        <f t="shared" ref="D24:I24" si="0">SUM(D3:D23)</f>
        <v>40</v>
      </c>
      <c r="E24">
        <f t="shared" si="0"/>
        <v>11.759999999999998</v>
      </c>
      <c r="F24">
        <f t="shared" si="0"/>
        <v>1922</v>
      </c>
      <c r="G24">
        <f t="shared" si="0"/>
        <v>1113.2</v>
      </c>
      <c r="H24">
        <f t="shared" si="0"/>
        <v>3192</v>
      </c>
      <c r="I24">
        <f t="shared" si="0"/>
        <v>1507.6</v>
      </c>
    </row>
    <row r="25" spans="1:11" x14ac:dyDescent="0.2">
      <c r="D25">
        <f>D24/E24*100</f>
        <v>340.13605442176879</v>
      </c>
      <c r="F25">
        <f>F24/G24*100</f>
        <v>172.65540783327344</v>
      </c>
      <c r="H25">
        <f>H24/I24*100</f>
        <v>211.72724860705762</v>
      </c>
    </row>
    <row r="31" spans="1:11" ht="17" thickBot="1" x14ac:dyDescent="0.25"/>
    <row r="32" spans="1:11" x14ac:dyDescent="0.2">
      <c r="A32" s="2" t="s">
        <v>29</v>
      </c>
      <c r="B32" s="3"/>
      <c r="C32" s="4"/>
      <c r="E32" s="10" t="s">
        <v>44</v>
      </c>
      <c r="F32" s="10"/>
      <c r="G32" s="11"/>
      <c r="H32" s="10" t="s">
        <v>45</v>
      </c>
      <c r="I32" s="10"/>
      <c r="J32" s="11"/>
      <c r="K32" s="11" t="s">
        <v>46</v>
      </c>
    </row>
    <row r="33" spans="1:11" x14ac:dyDescent="0.2">
      <c r="A33" s="5" t="s">
        <v>30</v>
      </c>
      <c r="C33" s="6"/>
      <c r="E33" s="11"/>
      <c r="F33" s="11" t="s">
        <v>47</v>
      </c>
      <c r="G33" s="11"/>
      <c r="H33" s="11"/>
      <c r="I33" s="11" t="s">
        <v>47</v>
      </c>
      <c r="J33" s="11"/>
      <c r="K33" s="12">
        <v>0.45</v>
      </c>
    </row>
    <row r="34" spans="1:11" x14ac:dyDescent="0.2">
      <c r="A34" s="5" t="s">
        <v>31</v>
      </c>
      <c r="C34" s="6"/>
      <c r="E34" s="11" t="s">
        <v>48</v>
      </c>
      <c r="F34" s="12">
        <v>0.41</v>
      </c>
      <c r="G34" s="11"/>
      <c r="H34" s="11" t="s">
        <v>48</v>
      </c>
      <c r="I34" s="12">
        <v>0.43</v>
      </c>
      <c r="J34" s="11"/>
      <c r="K34" s="11"/>
    </row>
    <row r="35" spans="1:11" x14ac:dyDescent="0.2">
      <c r="A35" s="5" t="s">
        <v>32</v>
      </c>
      <c r="C35" s="6">
        <v>1000</v>
      </c>
      <c r="E35" s="11" t="s">
        <v>49</v>
      </c>
      <c r="F35" s="12">
        <v>0.72</v>
      </c>
      <c r="G35" s="11"/>
      <c r="H35" s="11" t="s">
        <v>49</v>
      </c>
      <c r="I35" s="12">
        <v>0.74</v>
      </c>
      <c r="J35" s="11"/>
      <c r="K35" s="11"/>
    </row>
    <row r="36" spans="1:11" x14ac:dyDescent="0.2">
      <c r="A36" s="5" t="s">
        <v>33</v>
      </c>
      <c r="C36" s="6">
        <v>3500</v>
      </c>
      <c r="E36" s="11" t="s">
        <v>50</v>
      </c>
      <c r="F36" s="12">
        <v>0.36</v>
      </c>
      <c r="G36" s="11"/>
      <c r="H36" s="11" t="s">
        <v>50</v>
      </c>
      <c r="I36" s="12">
        <v>0.4</v>
      </c>
      <c r="J36" s="11"/>
      <c r="K36" s="11"/>
    </row>
    <row r="37" spans="1:11" x14ac:dyDescent="0.2">
      <c r="A37" s="5" t="s">
        <v>34</v>
      </c>
      <c r="C37" s="6">
        <v>1500</v>
      </c>
      <c r="E37" s="11" t="s">
        <v>51</v>
      </c>
      <c r="F37" s="12">
        <v>0.33</v>
      </c>
      <c r="G37" s="11"/>
      <c r="H37" s="11" t="s">
        <v>51</v>
      </c>
      <c r="I37" s="12">
        <v>0.39</v>
      </c>
      <c r="J37" s="11"/>
      <c r="K37" s="11"/>
    </row>
    <row r="38" spans="1:11" x14ac:dyDescent="0.2">
      <c r="A38" s="5" t="s">
        <v>35</v>
      </c>
      <c r="C38" s="6">
        <v>300</v>
      </c>
    </row>
    <row r="39" spans="1:11" ht="17" thickBot="1" x14ac:dyDescent="0.25">
      <c r="A39" s="7"/>
      <c r="B39" s="8"/>
      <c r="C39" s="9">
        <f>SUM(C35:C38)</f>
        <v>6300</v>
      </c>
    </row>
    <row r="41" spans="1:11" ht="17" thickBot="1" x14ac:dyDescent="0.25"/>
    <row r="42" spans="1:11" x14ac:dyDescent="0.2">
      <c r="A42" s="2" t="s">
        <v>41</v>
      </c>
      <c r="B42" s="3"/>
      <c r="C42" s="4"/>
    </row>
    <row r="43" spans="1:11" x14ac:dyDescent="0.2">
      <c r="A43" s="5" t="s">
        <v>38</v>
      </c>
      <c r="C43" s="6"/>
    </row>
    <row r="44" spans="1:11" x14ac:dyDescent="0.2">
      <c r="A44" s="5" t="s">
        <v>31</v>
      </c>
      <c r="C44" s="6"/>
    </row>
    <row r="45" spans="1:11" x14ac:dyDescent="0.2">
      <c r="A45" s="5" t="s">
        <v>39</v>
      </c>
      <c r="C45" s="6">
        <v>4000</v>
      </c>
    </row>
    <row r="46" spans="1:11" x14ac:dyDescent="0.2">
      <c r="A46" s="5" t="s">
        <v>42</v>
      </c>
      <c r="C46" s="6">
        <v>5000</v>
      </c>
    </row>
    <row r="47" spans="1:11" x14ac:dyDescent="0.2">
      <c r="A47" s="5" t="s">
        <v>43</v>
      </c>
      <c r="C47" s="6">
        <v>6000</v>
      </c>
    </row>
    <row r="48" spans="1:11" x14ac:dyDescent="0.2">
      <c r="A48" s="5" t="s">
        <v>40</v>
      </c>
      <c r="C48" s="6">
        <v>3000</v>
      </c>
    </row>
    <row r="49" spans="1:3" ht="17" thickBot="1" x14ac:dyDescent="0.25">
      <c r="A49" s="7"/>
      <c r="B49" s="8"/>
      <c r="C49" s="9">
        <f>SUM(C45:C48)</f>
        <v>18000</v>
      </c>
    </row>
  </sheetData>
  <mergeCells count="2">
    <mergeCell ref="E32:F32"/>
    <mergeCell ref="H32:I32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CPY</dc:creator>
  <cp:lastModifiedBy>CPY</cp:lastModifiedBy>
  <dcterms:created xsi:type="dcterms:W3CDTF">2025-05-19T11:30:05Z</dcterms:created>
  <dcterms:modified xsi:type="dcterms:W3CDTF">2025-05-20T15:32:32Z</dcterms:modified>
</cp:coreProperties>
</file>